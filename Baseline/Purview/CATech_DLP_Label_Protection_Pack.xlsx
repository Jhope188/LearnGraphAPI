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jon/Desktop/LearnGraphAPI/Baseline/Purview/"/>
    </mc:Choice>
  </mc:AlternateContent>
  <xr:revisionPtr revIDLastSave="0" documentId="13_ncr:1_{7D199248-2FD0-EE47-8EA7-401CFBC154C3}" xr6:coauthVersionLast="47" xr6:coauthVersionMax="47" xr10:uidLastSave="{00000000-0000-0000-0000-000000000000}"/>
  <bookViews>
    <workbookView xWindow="0" yWindow="660" windowWidth="30240" windowHeight="18980" tabRatio="500" activeTab="1" xr2:uid="{00000000-000D-0000-FFFF-FFFF00000000}"/>
  </bookViews>
  <sheets>
    <sheet name="How To Use" sheetId="1" r:id="rId1"/>
    <sheet name="Build Matrix" sheetId="2" r:id="rId2"/>
    <sheet name="Naming Convention" sheetId="3" r:id="rId3"/>
    <sheet name="Licensing Gate" sheetId="4" r:id="rId4"/>
    <sheet name="Rollout Stages" sheetId="5" r:id="rId5"/>
    <sheet name="Verification Notes" sheetId="6" r:id="rId6"/>
  </sheets>
  <definedNames>
    <definedName name="_xlnm._FilterDatabase" localSheetId="1" hidden="1">'Build Matrix'!$A$2:$N$23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</calcChain>
</file>

<file path=xl/sharedStrings.xml><?xml version="1.0" encoding="utf-8"?>
<sst xmlns="http://schemas.openxmlformats.org/spreadsheetml/2006/main" count="453" uniqueCount="267">
  <si>
    <t>CATech DLP &amp; Sensitivity Label Protection Pack</t>
  </si>
  <si>
    <t>Trimmed build workbook — scoped to Confidential/Restricted labels, Financial, Medical, and CUI (custom), compiled from advisory conversation.</t>
  </si>
  <si>
    <t>Purpose</t>
  </si>
  <si>
    <t>Use the Build Matrix tab as the source of truth for policy creation. Every row is one deployable policy: business outcome, detection method, rule structure, license gate, CATech-format policy name, and rollout path.</t>
  </si>
  <si>
    <t>Naming convention</t>
  </si>
  <si>
    <t>CATech - [Workload] - [Pack/Scope] - [Action]. See the Naming Convention tab for full token reference and worked examples.</t>
  </si>
  <si>
    <t>Two policy layers</t>
  </si>
  <si>
    <t>GENERAL (label-based): Confidential/Restricted policies apply the same way regardless of why content is sensitive — driven by sensitivity label, not content pattern. VERTICAL (content-based): Financial, Medical, and CUI are driven by Sensitive Information Types (SITs) — triggers whether or not the item is labeled.</t>
  </si>
  <si>
    <t>Rule structure</t>
  </si>
  <si>
    <t>Every policy uses the standard two-rule structure: Low confidence / min instance count 1 / Any (discovery, tune from SIM volume) and High confidence / min instance count 10 / Any (enforcement anchor).</t>
  </si>
  <si>
    <t>SIM is not skippable</t>
  </si>
  <si>
    <t>'Test with notifications' is a setting WITHIN simulation mode (policy tips on/off), not a separate mode — same policy object, same SIM action token. Run silent SIM first for a clean baseline, then flip on notifications, before promoting to WARN/BLOCK. See Rollout Stages tab for the compressed 1-week sequence.</t>
  </si>
  <si>
    <t>Licensing</t>
  </si>
  <si>
    <t>See the Licensing Gate tab — verified against the official Microsoft Purview service description as of the date on that tab. Two corrections vs. the original CloudCapsule/Tminus365 workbook are flagged in red — read the Verification Notes tab before using this with a client.</t>
  </si>
  <si>
    <t>CUI / Highly Regulated caveat</t>
  </si>
  <si>
    <t>No built-in Microsoft SIT exists for CUI. The CUI policies here use a CUSTOM sensitive information type built from CUI markings. This is best-effort detection hygiene on a commercial tenant — it is NOT DFARS/NIST 800-171 compliance. That requires the underlying cloud environment to be FedRAMP Moderate-authorized (Office 365 GCC High), not a DLP policy. Do not represent this pack as DFARS-compliant to a client still on commercial M365.</t>
  </si>
  <si>
    <t>Policy count</t>
  </si>
  <si>
    <t>21 policies total — 12 general (label-based, all workloads), 1 anti-exfiltration (auto-forward), 6 vertical (Financial + Medical), 2 CUI custom.</t>
  </si>
  <si>
    <t>Summary (auto-counted from Build Matrix)</t>
  </si>
  <si>
    <t>Total policies</t>
  </si>
  <si>
    <t>Business Premium-achievable</t>
  </si>
  <si>
    <t>Requires E5 / Purview add-on</t>
  </si>
  <si>
    <t>General (label-based) policies</t>
  </si>
  <si>
    <t>Vertical (content-based) policies</t>
  </si>
  <si>
    <t>Build Matrix — one deployable policy per row</t>
  </si>
  <si>
    <t>#</t>
  </si>
  <si>
    <t>Category</t>
  </si>
  <si>
    <t>Workload</t>
  </si>
  <si>
    <t>Pack/Scope</t>
  </si>
  <si>
    <t>Business Outcome</t>
  </si>
  <si>
    <t>Detection Method</t>
  </si>
  <si>
    <t>Rule 1 (discovery)</t>
  </si>
  <si>
    <t>Rule 2 (high severity)</t>
  </si>
  <si>
    <t>Target Action</t>
  </si>
  <si>
    <t>License</t>
  </si>
  <si>
    <t>Policy Name (CATech convention)</t>
  </si>
  <si>
    <t>Rollout Path</t>
  </si>
  <si>
    <t>Notes</t>
  </si>
  <si>
    <t>Microsoft Reference</t>
  </si>
  <si>
    <t>General</t>
  </si>
  <si>
    <t>EXO</t>
  </si>
  <si>
    <t>Confidential-AllUsers</t>
  </si>
  <si>
    <t>Block Confidential-labeled content from being sent to external recipients</t>
  </si>
  <si>
    <t>Content contains sensitivity label: Confidential</t>
  </si>
  <si>
    <t>Low confidence, min instance count 1, to Any</t>
  </si>
  <si>
    <t>High confidence, min instance count 10, to Any</t>
  </si>
  <si>
    <t>Block external send; internal sharing unaffected</t>
  </si>
  <si>
    <t>BP</t>
  </si>
  <si>
    <t>CATech - EXO - Confidential-ExternalBlock-AllUsers - SIM</t>
  </si>
  <si>
    <t>SIM &gt; tune &gt; BLOCK</t>
  </si>
  <si>
    <t>Label-as-DLP-condition confirmed core BP.</t>
  </si>
  <si>
    <t>https://learn.microsoft.com/purview/dlp-sensitivity-label-as-condition</t>
  </si>
  <si>
    <t>SPO</t>
  </si>
  <si>
    <t>Block Confidential-labeled files from being shared externally from SharePoint/OneDrive</t>
  </si>
  <si>
    <t>Block external sharing/access</t>
  </si>
  <si>
    <t>CATech - SPO - Confidential-ExternalBlock-AllUsers - SIM</t>
  </si>
  <si>
    <t>Covers Teams file attachments automatically (auto-uploaded to SPO/OneDrive) — no separate Teams file policy needed.</t>
  </si>
  <si>
    <t>Restricted-AllUsers</t>
  </si>
  <si>
    <t>Alert on any external send of Restricted-labeled content, regardless of sender</t>
  </si>
  <si>
    <t>Content contains sensitivity label: Restricted</t>
  </si>
  <si>
    <t>Block external send + alert security</t>
  </si>
  <si>
    <t>CATech - EXO - Restricted-ExternalAlert-AllUsers - SIM</t>
  </si>
  <si>
    <t>Access control lives in the LABEL (published to restricted group only, encryption permissions set there). This DLP policy is the second layer / audit trail, not the primary control.</t>
  </si>
  <si>
    <t>Alert on external sharing of Restricted-labeled files</t>
  </si>
  <si>
    <t>Block external sharing/access + alert security</t>
  </si>
  <si>
    <t>CATech - SPO - Restricted-ExternalAlert-AllUsers - SIM</t>
  </si>
  <si>
    <t>Same label-first logic as EXO Restricted policy above.</t>
  </si>
  <si>
    <t>TEAMS</t>
  </si>
  <si>
    <t>Block Confidential content typed/pasted directly into Teams chat or channel messages</t>
  </si>
  <si>
    <t>Block matching messages</t>
  </si>
  <si>
    <t>E5</t>
  </si>
  <si>
    <t>CATech - TEAMS - Confidential-ExternalBlock-AllUsers - SIM</t>
  </si>
  <si>
    <t>SIM &gt; pilot &gt; BLOCK</t>
  </si>
  <si>
    <t>Only build for E5-tier clients. Not needed on BP — file-sharing exposure already caught by SPO/OneDrive policies above; this only adds message-body inspection.</t>
  </si>
  <si>
    <t>https://learn.microsoft.com/office365/servicedescriptions/microsoft-365-service-descriptions/microsoft-365-tenantlevel-services-licensing-guidance/microsoft-purview-service-description</t>
  </si>
  <si>
    <t>Block/alert Restricted content typed/pasted directly into Teams messages</t>
  </si>
  <si>
    <t>Block matching messages + alert</t>
  </si>
  <si>
    <t>CATech - TEAMS - Restricted-ExternalAlert-AllUsers - SIM</t>
  </si>
  <si>
    <t>Same E5-only scoping as Confidential Teams policy.</t>
  </si>
  <si>
    <t>COPILOT</t>
  </si>
  <si>
    <t>Block Confidential content from being typed/pasted into Copilot Chat prompts</t>
  </si>
  <si>
    <t>Content contains sensitivity label: Confidential (prompt safeguarding)</t>
  </si>
  <si>
    <t>Block sensitive prompt submission</t>
  </si>
  <si>
    <t>CATech - COPILOT - Confidential-PromptBlock-AllUsers - SIM</t>
  </si>
  <si>
    <t>SIM &gt; policy tip &gt; BLOCK</t>
  </si>
  <si>
    <t>Prompt-safeguarding DLP is available to ANY Copilot-licensed user on ANY M365 tier — confirmed via official service description. Requires Copilot license, not E5.</t>
  </si>
  <si>
    <t>https://learn.microsoft.com/purview/dlp-microsoft365-copilot-location-learn-about</t>
  </si>
  <si>
    <t>Block Restricted content from being typed/pasted into Copilot Chat prompts</t>
  </si>
  <si>
    <t>Content contains sensitivity label: Restricted (prompt safeguarding)</t>
  </si>
  <si>
    <t>CATech - COPILOT - Restricted-PromptBlock-AllUsers - SIM</t>
  </si>
  <si>
    <t>Same prompt-level control as Confidential — BP-achievable with Copilot license.</t>
  </si>
  <si>
    <t>Exclude Confidential-labeled files from Copilot grounding (Copilot cannot read them as context)</t>
  </si>
  <si>
    <t>Exclude labeled content from grounding</t>
  </si>
  <si>
    <t>CATech - COPILOT - Confidential-GroundingExclude-AllUsers - SIM</t>
  </si>
  <si>
    <t>Different control from prompt-block above — this stops Copilot reading the file at all. E5/Purview add-on required, confirmed via service description.</t>
  </si>
  <si>
    <t>Exclude Restricted-labeled files from Copilot grounding</t>
  </si>
  <si>
    <t>CATech - COPILOT - Restricted-GroundingExclude-AllUsers - SIM</t>
  </si>
  <si>
    <t>Same E5 gate as Confidential grounding-exclude.</t>
  </si>
  <si>
    <t>EDP-AI</t>
  </si>
  <si>
    <t>Block pasting/uploading Confidential content into consumer AI apps (ChatGPT, Gemini, etc.)</t>
  </si>
  <si>
    <t>Content contains sensitivity label: Confidential (browser/endpoint)</t>
  </si>
  <si>
    <t>Block paste/upload to unapproved AI destinations</t>
  </si>
  <si>
    <t>CATech - EDP-AI - Confidential-BlockUpload-AllUsers - SIM</t>
  </si>
  <si>
    <t>Audit &gt; WARN &gt; BLOCK</t>
  </si>
  <si>
    <t>Requires Endpoint DLP (E5-tier) + devices onboarded to Purview/Defender. No BP-tier equivalent exists — genuine coverage gap to disclose on BP-only clients.</t>
  </si>
  <si>
    <t>https://learn.microsoft.com/purview/endpoint-dlp-create-policy-unauthorized-cloud-apps-services</t>
  </si>
  <si>
    <t>Block pasting/uploading Restricted content into consumer AI apps</t>
  </si>
  <si>
    <t>Content contains sensitivity label: Restricted (browser/endpoint)</t>
  </si>
  <si>
    <t>CATech - EDP-AI - Restricted-BlockUpload-AllUsers - SIM</t>
  </si>
  <si>
    <t>Same E5 + onboarding requirement as Confidential endpoint policy.</t>
  </si>
  <si>
    <t>Anti-Exfil</t>
  </si>
  <si>
    <t>AutoForward-AllUsers</t>
  </si>
  <si>
    <t>Stop sensitive mail from being silently auto-forwarded outside the org (e.g. inbox rule to a personal address)</t>
  </si>
  <si>
    <t>Message type matches: Auto-forward AND Content contains sensitive SITs (PII/Finance/Healthcare)</t>
  </si>
  <si>
    <t>Block auto-forward + alert security</t>
  </si>
  <si>
    <t>CATech - EXO - AntiExfil-AutoForward-AllUsers - SIM</t>
  </si>
  <si>
    <t>Auto-forward is a native Exchange DLP condition, independent of label/SIT detection — combine with content condition so legitimate auto-forwarding isn't blocked outright.</t>
  </si>
  <si>
    <t>https://learn.microsoft.com/purview/dlp-exchange-conditions-and-actions</t>
  </si>
  <si>
    <t>Vertical</t>
  </si>
  <si>
    <t>Financial-AllUsers</t>
  </si>
  <si>
    <t>Stop credit card numbers and bank details from being emailed externally</t>
  </si>
  <si>
    <t>Built-in SITs: Credit card number; U.S. bank account number; ABA routing; SWIFT; IBAN</t>
  </si>
  <si>
    <t>Block external send; allow justified override</t>
  </si>
  <si>
    <t>CATech - EXO - Financial-AllUsers - SIM</t>
  </si>
  <si>
    <t>Content-based — triggers regardless of label.</t>
  </si>
  <si>
    <t>https://learn.microsoft.com/purview/dlp-policy-reference</t>
  </si>
  <si>
    <t>Stop financial files from being shared externally via SharePoint/OneDrive</t>
  </si>
  <si>
    <t>CATech - SPO - Financial-AllUsers - SIM</t>
  </si>
  <si>
    <t>Pairs with EXO Financial policy above.</t>
  </si>
  <si>
    <t>Financial-Accounting</t>
  </si>
  <si>
    <t>Warn (not block) Accounting before financial data leaves by email — approved workflow</t>
  </si>
  <si>
    <t>Policy tip / warn with justification; no hard block</t>
  </si>
  <si>
    <t>CATech - EXO - Financial-Accounting - SIM</t>
  </si>
  <si>
    <t>SIM &gt; WARN</t>
  </si>
  <si>
    <t>Exception companion to the EXO Financial block policy — scoped to Accounting group only.</t>
  </si>
  <si>
    <t>Medical-AllUsers</t>
  </si>
  <si>
    <t>Stop patient records/health identifiers from being emailed externally</t>
  </si>
  <si>
    <t>Built-in SITs: ICD-9-CM; ICD-10-CM; DEA Number AND a supporting PII SIT (matches records, not reference material)</t>
  </si>
  <si>
    <t>CATech - EXO - Medical-AllUsers - SIM</t>
  </si>
  <si>
    <t>AND condition with PII SIT avoids matching medical reference docs.</t>
  </si>
  <si>
    <t>Stop patient records from being shared externally via SharePoint/OneDrive</t>
  </si>
  <si>
    <t>Built-in SITs: ICD-9-CM; ICD-10-CM; DEA Number AND supporting PII SIT</t>
  </si>
  <si>
    <t>CATech - SPO - Medical-AllUsers - SIM</t>
  </si>
  <si>
    <t>Pairs with EXO Medical policy above.</t>
  </si>
  <si>
    <t>Medical-ClinicalBilling</t>
  </si>
  <si>
    <t>Warn (not block) Clinical &amp; Billing staff before patient data leaves by email — approved workflow</t>
  </si>
  <si>
    <t>CATech - EXO - Medical-ClinicalBilling - SIM</t>
  </si>
  <si>
    <t>Exception companion to the EXO Medical block policy.</t>
  </si>
  <si>
    <t>CUI-Custom-AllUsers</t>
  </si>
  <si>
    <t>Detect and flag CUI-marked content being emailed externally (hygiene, not compliance)</t>
  </si>
  <si>
    <t>CUSTOM SIT built from CUI markings (e.g. CUI//SP-PRVCY category banners) — no built-in Microsoft SIT exists for CUI</t>
  </si>
  <si>
    <t>CATech - EXO - CUI-Custom-AllUsers - SIM</t>
  </si>
  <si>
    <t>⚠ Best-effort detection on a COMMERCIAL tenant only. Does NOT satisfy DFARS/NIST 800-171 — that requires the environment itself be FedRAMP Moderate-authorized (GCC High). Do not represent as DFARS-compliant.</t>
  </si>
  <si>
    <t>https://learn.microsoft.com/compliance/regulatory/offering-dfars</t>
  </si>
  <si>
    <t>Detect and flag CUI-marked files shared externally via SharePoint/OneDrive (hygiene, not compliance)</t>
  </si>
  <si>
    <t>CUSTOM SIT built from CUI markings — no built-in Microsoft SIT</t>
  </si>
  <si>
    <t>CATech - SPO - CUI-Custom-AllUsers - SIM</t>
  </si>
  <si>
    <t>⚠ Same compliance caveat as EXO CUI policy — pair together, same caveat applies to both.</t>
  </si>
  <si>
    <t>CATech DLP Naming Convention</t>
  </si>
  <si>
    <t>Format: CATech - [Workload] - [Pack/Scope] - [Action]     Example: CATech - EXO - Financial-AllUsers - SIM</t>
  </si>
  <si>
    <t>Workload tokens</t>
  </si>
  <si>
    <t>Exchange Online</t>
  </si>
  <si>
    <t>SharePoint and OneDrive</t>
  </si>
  <si>
    <t>Teams chat, channels, messages, files</t>
  </si>
  <si>
    <t>Microsoft 365 Copilot / Copilot Chat policy location</t>
  </si>
  <si>
    <t>EDP-USB</t>
  </si>
  <si>
    <t>Endpoint: removable media and print</t>
  </si>
  <si>
    <t>EDP-CLOUD</t>
  </si>
  <si>
    <t>Endpoint: 3rd-party / personal cloud storage uploads</t>
  </si>
  <si>
    <t>Endpoint / browser: generative AI app paste and upload</t>
  </si>
  <si>
    <t>Pack / Scope tokens (combines protection pack + target population)</t>
  </si>
  <si>
    <t>Confidential-AllUsers / Restricted-AllUsers</t>
  </si>
  <si>
    <t>Label-based general policies — tenant-wide</t>
  </si>
  <si>
    <t>Financial-AllUsers / Financial-[Team]</t>
  </si>
  <si>
    <t>Vertical — financial data; [Team] = approved-workflow warn scope, e.g. Accounting</t>
  </si>
  <si>
    <t>Medical-AllUsers / Medical-[Team]</t>
  </si>
  <si>
    <t>Vertical — PHI/health identifiers; [Team] = approved-workflow warn scope, e.g. ClinicalBilling</t>
  </si>
  <si>
    <t>Vertical — CUI marking detection (custom SIT, hygiene only, see caveat)</t>
  </si>
  <si>
    <t>AntiExfil-AutoForward-AllUsers</t>
  </si>
  <si>
    <t>Anti-exfiltration — auto-forward + sensitive content combo</t>
  </si>
  <si>
    <t>[Label]-GroundingExclude-AllUsers</t>
  </si>
  <si>
    <t>Copilot-specific — excludes labeled content from grounding (E5)</t>
  </si>
  <si>
    <t>[Label]-PromptBlock-AllUsers</t>
  </si>
  <si>
    <t>Copilot-specific — blocks label from prompt text (BP-achievable)</t>
  </si>
  <si>
    <t>[Label]-BlockUpload-AllUsers</t>
  </si>
  <si>
    <t>Endpoint/browser-specific — blocks paste/upload to consumer AI (E5)</t>
  </si>
  <si>
    <t>Action tokens (current mode)</t>
  </si>
  <si>
    <t>SIM</t>
  </si>
  <si>
    <t>Simulation mode — every policy starts here. Covers BOTH silent-SIM and SIM-with-notifications; the notifications toggle is a policy setting, not a naming distinction.</t>
  </si>
  <si>
    <t>WARN</t>
  </si>
  <si>
    <t>Policy tips / warning, with or without justification</t>
  </si>
  <si>
    <t>BLOCK</t>
  </si>
  <si>
    <t>Enforced block</t>
  </si>
  <si>
    <t>Worked examples</t>
  </si>
  <si>
    <t>Finance email policy for all users, currently in simulation</t>
  </si>
  <si>
    <t>CATech - EXO - Financial-AllUsers - BLOCK</t>
  </si>
  <si>
    <t>Same policy after promotion to enforcement</t>
  </si>
  <si>
    <t>CATech - SPO - Financial-Accounting - WARN</t>
  </si>
  <si>
    <t>Finance sharing policy warning Accounting on external shares</t>
  </si>
  <si>
    <t>Blocking Confidential content typed into Copilot prompts, in simulation</t>
  </si>
  <si>
    <t>Endpoint policy simulating blocks of Restricted content pasted into ChatGPT/Gemini</t>
  </si>
  <si>
    <t>CATech - EXO - AntiExfil-AutoForward-AllUsers - BLOCK</t>
  </si>
  <si>
    <t>Enforced block on sensitive mail being auto-forwarded externally</t>
  </si>
  <si>
    <t>Licensing Gate — verified against Microsoft Purview service description</t>
  </si>
  <si>
    <t>Source: learn.microsoft.com/office365/servicedescriptions/.../microsoft-purview-service-description — fetched live during this build. Re-verify before a proposal; Microsoft licensing changes without notice.</t>
  </si>
  <si>
    <t>Capability</t>
  </si>
  <si>
    <t>Business Premium</t>
  </si>
  <si>
    <t>E5 / Purview add-on</t>
  </si>
  <si>
    <t>Exchange/SPO/OneDrive DLP (SITs, custom SITs, label-as-condition)</t>
  </si>
  <si>
    <t>Yes</t>
  </si>
  <si>
    <t>Core DLP — the backbone of every EXO/SPO policy in this workbook.</t>
  </si>
  <si>
    <t>Teams DLP (message body inspection)</t>
  </si>
  <si>
    <t>No</t>
  </si>
  <si>
    <t>Confirmed gated to E5-tier. BP clients: skip — SPO/OneDrive already covers Teams file shares.</t>
  </si>
  <si>
    <t>Endpoint DLP (USB, print, cloud upload, AI app paste/upload)</t>
  </si>
  <si>
    <t>Requires device onboarding to Purview/Defender in addition to the license.</t>
  </si>
  <si>
    <t>Copilot DLP — restrict Copilot from PROCESSING files/emails (grounding)</t>
  </si>
  <si>
    <t>Different control from prompt-safeguarding below — don't conflate the two when quoting a client.</t>
  </si>
  <si>
    <t>Copilot DLP — safeguard PROMPTS</t>
  </si>
  <si>
    <t>Yes — all tiers</t>
  </si>
  <si>
    <t>Available to any Copilot-licensed user regardless of M365 tier. CORRECTED vs. original workbook, which listed the whole Copilot pack as E5-gated.</t>
  </si>
  <si>
    <t>Manual sensitivity labeling + basic encryption (Do Not Forward, Encrypt)</t>
  </si>
  <si>
    <t>BP includes AIP Plan 1 — this is the mechanism the Restricted label's access control relies on.</t>
  </si>
  <si>
    <t>Automatic (client/service-side) labeling</t>
  </si>
  <si>
    <t>Confirmed E5-tier only.</t>
  </si>
  <si>
    <t>Default/auto-label a SharePoint document library</t>
  </si>
  <si>
    <t>CORRECTED vs. original workbook, which listed this as 'Business Premium+'. Official table gates this to E5/Purview Suite/IPG specifically.</t>
  </si>
  <si>
    <t>Basic Message Encryption (OME)</t>
  </si>
  <si>
    <t>Fine for manual Restricted-label encryption.</t>
  </si>
  <si>
    <t>Advanced Message Encryption (auto-policy by SIT, custom templates, revoke access)</t>
  </si>
  <si>
    <t>This is the E5 gate if 'alert on external file access' needs to mean auto-revoke rather than DLP-alert.</t>
  </si>
  <si>
    <t>Communication Compliance (inappropriate use / AI prompt-response review)</t>
  </si>
  <si>
    <t>Also requires a Copilot license for Copilot interaction analysis specifically.</t>
  </si>
  <si>
    <t>Rollout Stages — 1-week compressed sequence</t>
  </si>
  <si>
    <t>Compression of the workbook's standard Stage 0/1 (normally 1–4 weeks) — reasonable for a small, well-scoped outcome set like this one, not the full stack at once.</t>
  </si>
  <si>
    <t>Day(s)</t>
  </si>
  <si>
    <t>Policy Mode</t>
  </si>
  <si>
    <t>What Happens</t>
  </si>
  <si>
    <t>Exit Criteria</t>
  </si>
  <si>
    <t>SIM — silent (no policy tips)</t>
  </si>
  <si>
    <t>Same policy object, same SIM action token. Pure baseline: read match volume, no user impact at all. This is where you set the Low rule's min-instance-count from real data.</t>
  </si>
  <si>
    <t>Match volume understood; Low rule count tentatively set.</t>
  </si>
  <si>
    <t>SIM — with notifications / policy tips</t>
  </si>
  <si>
    <t>Toggle the 'Show policy tips within simulation mode' setting on the same policy (not a new policy, not a renamed one). Users see tips, can report false positives, but nothing is blocked yet.</t>
  </si>
  <si>
    <t>Top false positives addressed; approved-workflow exceptions (Accounting, ClinicalBilling, etc.) documented.</t>
  </si>
  <si>
    <t>WARN (pilot) then BLOCK</t>
  </si>
  <si>
    <t>Rename the ACTION token in place: SIM → WARN → BLOCK. If a pack is still noisy at day 7, extend that pack only — don't promote everything on a fixed calendar.</t>
  </si>
  <si>
    <t>Overrides rare and reviewed; false-positive rate acceptable to the business owner.</t>
  </si>
  <si>
    <t>Verification Notes — flagged for human review before client use</t>
  </si>
  <si>
    <t>Item</t>
  </si>
  <si>
    <t>Finding</t>
  </si>
  <si>
    <t>Source</t>
  </si>
  <si>
    <t>Copilot DLP licensing (corrected)</t>
  </si>
  <si>
    <t>Original workbook listed the entire Copilot pack as 'E5 / Purview suite add-on + Copilot license.' Official service description splits this: prompt-safeguarding DLP works on ANY tier with a Copilot license; only grounding/file-processing restriction needs E5.</t>
  </si>
  <si>
    <t>https://learn.microsoft.com/purview/dlp-microsoft365-copilot-location-learn-about ; https://learn.microsoft.com/office365/servicedescriptions/microsoft-365-service-descriptions/microsoft-365-tenantlevel-services-licensing-guidance/microsoft-purview-service-description</t>
  </si>
  <si>
    <t>SharePoint default/auto-labeling (corrected)</t>
  </si>
  <si>
    <t>Original workbook listed default-labeling a SharePoint library as 'Business Premium+ (validate auto-labeling).' Official service description gates this specifically to E5/Purview Suite/Information Protection &amp; Governance — not achievable on BP even with add-ons short of E5-tier IPG.</t>
  </si>
  <si>
    <t>Sensitivity label as DLP EXCEPTION on Business Premium — unresolved</t>
  </si>
  <si>
    <t>A Microsoft Q&amp;A community thread (not authoritative) claims BP's DLP engine evaluates labels as a block CONDITION but ignores them as an EXCEPTION/override — i.e., a 'DLP-exempt' label wouldn't actually bypass a block on BP the way it does on E5. Found nothing in official docs confirming or denying this at the exception level specifically. Test in a BP lab tenant before building client policies that rely on label-based DLP exceptions.</t>
  </si>
  <si>
    <t>learn.microsoft.com/answers/a/12151329 (community, unverified)</t>
  </si>
  <si>
    <t>CUI / DFARS compliance boundary</t>
  </si>
  <si>
    <t>No built-in Microsoft SIT exists for CUI — the CUI pack here uses a custom SIT. More importantly: DFARS/NIST 800-171 compliance requires the cloud environment itself be FedRAMP Moderate-authorized (Office 365 GCC High). A DLP policy in a commercial tenant is detection hygiene only and does not satisfy the requirement for an actual DoD contractor client.</t>
  </si>
  <si>
    <t>Auto-forward as a DLP condition</t>
  </si>
  <si>
    <t>Confirmed native Exchange DLP condition ('Message type matches: Auto-forward'), independent of SIT/label detection — usable on Business Premium as part of core Exchange DLP.</t>
  </si>
  <si>
    <t>Day 1–7</t>
  </si>
  <si>
    <t>Day 8-14</t>
  </si>
  <si>
    <t>Day 14 - 31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</si>
</sst>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78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/>
    <xf numFmtId="0" fontId="4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>
      <selection sqref="A1:B1"/>
    </sheetView>
  </sheetViews>
  <sheetFormatPr baseColWidth="10" defaultColWidth="8.6640625" defaultRowHeight="15" x14ac:dyDescent="0.2"/>
  <cols>
    <col min="1" max="1" width="30" customWidth="1"/>
    <col min="2" max="2" width="90" customWidth="1"/>
  </cols>
  <sheetData>
    <row r="1" spans="1:2" ht="20" x14ac:dyDescent="0.2">
      <c r="A1" s="3" t="s">
        <v>0</v>
      </c>
      <c r="B1" s="3"/>
    </row>
    <row r="2" spans="1:2" x14ac:dyDescent="0.2">
      <c r="A2" s="2" t="s">
        <v>1</v>
      </c>
      <c r="B2" s="2"/>
    </row>
    <row r="4" spans="1:2" ht="45.75" customHeight="1" x14ac:dyDescent="0.2">
      <c r="A4" s="4" t="s">
        <v>2</v>
      </c>
      <c r="B4" s="5" t="s">
        <v>3</v>
      </c>
    </row>
    <row r="5" spans="1:2" ht="45.75" customHeight="1" x14ac:dyDescent="0.2">
      <c r="A5" s="4" t="s">
        <v>4</v>
      </c>
      <c r="B5" s="5" t="s">
        <v>5</v>
      </c>
    </row>
    <row r="6" spans="1:2" ht="45.75" customHeight="1" x14ac:dyDescent="0.2">
      <c r="A6" s="4" t="s">
        <v>6</v>
      </c>
      <c r="B6" s="5" t="s">
        <v>7</v>
      </c>
    </row>
    <row r="7" spans="1:2" ht="45.75" customHeight="1" x14ac:dyDescent="0.2">
      <c r="A7" s="4" t="s">
        <v>8</v>
      </c>
      <c r="B7" s="5" t="s">
        <v>9</v>
      </c>
    </row>
    <row r="8" spans="1:2" ht="45.75" customHeight="1" x14ac:dyDescent="0.2">
      <c r="A8" s="4" t="s">
        <v>10</v>
      </c>
      <c r="B8" s="5" t="s">
        <v>11</v>
      </c>
    </row>
    <row r="9" spans="1:2" ht="45.75" customHeight="1" x14ac:dyDescent="0.2">
      <c r="A9" s="4" t="s">
        <v>12</v>
      </c>
      <c r="B9" s="5" t="s">
        <v>13</v>
      </c>
    </row>
    <row r="10" spans="1:2" ht="45.75" customHeight="1" x14ac:dyDescent="0.2">
      <c r="A10" s="4" t="s">
        <v>14</v>
      </c>
      <c r="B10" s="5" t="s">
        <v>15</v>
      </c>
    </row>
    <row r="11" spans="1:2" ht="45.75" customHeight="1" x14ac:dyDescent="0.2">
      <c r="A11" s="4" t="s">
        <v>16</v>
      </c>
      <c r="B11" s="5" t="s">
        <v>17</v>
      </c>
    </row>
    <row r="13" spans="1:2" ht="16" x14ac:dyDescent="0.2">
      <c r="A13" s="6" t="s">
        <v>18</v>
      </c>
    </row>
    <row r="14" spans="1:2" x14ac:dyDescent="0.2">
      <c r="A14" s="7" t="s">
        <v>19</v>
      </c>
      <c r="B14" s="8">
        <f>COUNTA('Build Matrix'!A3:A100)</f>
        <v>21</v>
      </c>
    </row>
    <row r="15" spans="1:2" x14ac:dyDescent="0.2">
      <c r="A15" s="7" t="s">
        <v>20</v>
      </c>
      <c r="B15" s="8">
        <f>COUNTIF('Build Matrix'!J3:J100,"BP")</f>
        <v>15</v>
      </c>
    </row>
    <row r="16" spans="1:2" x14ac:dyDescent="0.2">
      <c r="A16" s="7" t="s">
        <v>21</v>
      </c>
      <c r="B16" s="8">
        <f>COUNTIF('Build Matrix'!J3:J100,"E5")</f>
        <v>6</v>
      </c>
    </row>
    <row r="17" spans="1:2" x14ac:dyDescent="0.2">
      <c r="A17" s="7" t="s">
        <v>22</v>
      </c>
      <c r="B17" s="8">
        <f>COUNTIF('Build Matrix'!B3:B100,"General")</f>
        <v>12</v>
      </c>
    </row>
    <row r="18" spans="1:2" x14ac:dyDescent="0.2">
      <c r="A18" s="7" t="s">
        <v>23</v>
      </c>
      <c r="B18" s="8">
        <f>COUNTIF('Build Matrix'!B3:B100,"Vertical")</f>
        <v>8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zoomScaleNormal="100" workbookViewId="0">
      <pane ySplit="2" topLeftCell="A3" activePane="bottomLeft" state="frozen"/>
      <selection pane="bottomLeft" sqref="A1:N1"/>
    </sheetView>
  </sheetViews>
  <sheetFormatPr baseColWidth="10" defaultColWidth="8.6640625" defaultRowHeight="15" x14ac:dyDescent="0.2"/>
  <cols>
    <col min="1" max="1" width="4" customWidth="1"/>
    <col min="2" max="3" width="10" customWidth="1"/>
    <col min="4" max="4" width="20" customWidth="1"/>
    <col min="5" max="5" width="34" customWidth="1"/>
    <col min="6" max="6" width="30" customWidth="1"/>
    <col min="7" max="9" width="22" customWidth="1"/>
    <col min="10" max="10" width="8" customWidth="1"/>
    <col min="11" max="11" width="40" customWidth="1"/>
    <col min="12" max="12" width="16" customWidth="1"/>
    <col min="13" max="13" width="40" customWidth="1"/>
    <col min="14" max="14" width="34" customWidth="1"/>
  </cols>
  <sheetData>
    <row r="1" spans="1:14" ht="16" x14ac:dyDescent="0.2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5" customHeight="1" x14ac:dyDescent="0.2">
      <c r="A2" s="9" t="s">
        <v>25</v>
      </c>
      <c r="B2" s="9" t="s">
        <v>26</v>
      </c>
      <c r="C2" s="9" t="s">
        <v>27</v>
      </c>
      <c r="D2" s="9" t="s">
        <v>28</v>
      </c>
      <c r="E2" s="9" t="s">
        <v>29</v>
      </c>
      <c r="F2" s="9" t="s">
        <v>30</v>
      </c>
      <c r="G2" s="9" t="s">
        <v>31</v>
      </c>
      <c r="H2" s="9" t="s">
        <v>32</v>
      </c>
      <c r="I2" s="9" t="s">
        <v>33</v>
      </c>
      <c r="J2" s="9" t="s">
        <v>34</v>
      </c>
      <c r="K2" s="9" t="s">
        <v>35</v>
      </c>
      <c r="L2" s="9" t="s">
        <v>36</v>
      </c>
      <c r="M2" s="9" t="s">
        <v>37</v>
      </c>
      <c r="N2" s="9" t="s">
        <v>38</v>
      </c>
    </row>
    <row r="3" spans="1:14" ht="60" customHeight="1" x14ac:dyDescent="0.2">
      <c r="A3" s="10">
        <v>1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  <c r="H3" s="10" t="s">
        <v>45</v>
      </c>
      <c r="I3" s="10" t="s">
        <v>46</v>
      </c>
      <c r="J3" s="10" t="s">
        <v>47</v>
      </c>
      <c r="K3" s="10" t="s">
        <v>48</v>
      </c>
      <c r="L3" s="10" t="s">
        <v>49</v>
      </c>
      <c r="M3" s="10" t="s">
        <v>50</v>
      </c>
      <c r="N3" s="10" t="s">
        <v>51</v>
      </c>
    </row>
    <row r="4" spans="1:14" ht="60" customHeight="1" x14ac:dyDescent="0.2">
      <c r="A4" s="10">
        <v>2</v>
      </c>
      <c r="B4" s="10" t="s">
        <v>39</v>
      </c>
      <c r="C4" s="10" t="s">
        <v>52</v>
      </c>
      <c r="D4" s="10" t="s">
        <v>41</v>
      </c>
      <c r="E4" s="10" t="s">
        <v>53</v>
      </c>
      <c r="F4" s="10" t="s">
        <v>43</v>
      </c>
      <c r="G4" s="10" t="s">
        <v>44</v>
      </c>
      <c r="H4" s="10" t="s">
        <v>45</v>
      </c>
      <c r="I4" s="10" t="s">
        <v>54</v>
      </c>
      <c r="J4" s="10" t="s">
        <v>47</v>
      </c>
      <c r="K4" s="10" t="s">
        <v>55</v>
      </c>
      <c r="L4" s="10" t="s">
        <v>49</v>
      </c>
      <c r="M4" s="10" t="s">
        <v>56</v>
      </c>
      <c r="N4" s="10" t="s">
        <v>51</v>
      </c>
    </row>
    <row r="5" spans="1:14" ht="60" customHeight="1" x14ac:dyDescent="0.2">
      <c r="A5" s="10">
        <v>3</v>
      </c>
      <c r="B5" s="10" t="s">
        <v>39</v>
      </c>
      <c r="C5" s="10" t="s">
        <v>40</v>
      </c>
      <c r="D5" s="10" t="s">
        <v>57</v>
      </c>
      <c r="E5" s="10" t="s">
        <v>58</v>
      </c>
      <c r="F5" s="10" t="s">
        <v>59</v>
      </c>
      <c r="G5" s="10" t="s">
        <v>44</v>
      </c>
      <c r="H5" s="10" t="s">
        <v>45</v>
      </c>
      <c r="I5" s="10" t="s">
        <v>60</v>
      </c>
      <c r="J5" s="10" t="s">
        <v>47</v>
      </c>
      <c r="K5" s="10" t="s">
        <v>61</v>
      </c>
      <c r="L5" s="10" t="s">
        <v>49</v>
      </c>
      <c r="M5" s="10" t="s">
        <v>62</v>
      </c>
      <c r="N5" s="10" t="s">
        <v>51</v>
      </c>
    </row>
    <row r="6" spans="1:14" ht="60" customHeight="1" x14ac:dyDescent="0.2">
      <c r="A6" s="10">
        <v>4</v>
      </c>
      <c r="B6" s="10" t="s">
        <v>39</v>
      </c>
      <c r="C6" s="10" t="s">
        <v>52</v>
      </c>
      <c r="D6" s="10" t="s">
        <v>57</v>
      </c>
      <c r="E6" s="10" t="s">
        <v>63</v>
      </c>
      <c r="F6" s="10" t="s">
        <v>59</v>
      </c>
      <c r="G6" s="10" t="s">
        <v>44</v>
      </c>
      <c r="H6" s="10" t="s">
        <v>45</v>
      </c>
      <c r="I6" s="10" t="s">
        <v>64</v>
      </c>
      <c r="J6" s="10" t="s">
        <v>47</v>
      </c>
      <c r="K6" s="10" t="s">
        <v>65</v>
      </c>
      <c r="L6" s="10" t="s">
        <v>49</v>
      </c>
      <c r="M6" s="10" t="s">
        <v>66</v>
      </c>
      <c r="N6" s="10" t="s">
        <v>51</v>
      </c>
    </row>
    <row r="7" spans="1:14" ht="60" customHeight="1" x14ac:dyDescent="0.2">
      <c r="A7" s="11">
        <v>5</v>
      </c>
      <c r="B7" s="11" t="s">
        <v>39</v>
      </c>
      <c r="C7" s="11" t="s">
        <v>67</v>
      </c>
      <c r="D7" s="11" t="s">
        <v>41</v>
      </c>
      <c r="E7" s="11" t="s">
        <v>68</v>
      </c>
      <c r="F7" s="11" t="s">
        <v>43</v>
      </c>
      <c r="G7" s="11" t="s">
        <v>44</v>
      </c>
      <c r="H7" s="11" t="s">
        <v>45</v>
      </c>
      <c r="I7" s="11" t="s">
        <v>69</v>
      </c>
      <c r="J7" s="11" t="s">
        <v>70</v>
      </c>
      <c r="K7" s="11" t="s">
        <v>71</v>
      </c>
      <c r="L7" s="11" t="s">
        <v>72</v>
      </c>
      <c r="M7" s="11" t="s">
        <v>73</v>
      </c>
      <c r="N7" s="11" t="s">
        <v>74</v>
      </c>
    </row>
    <row r="8" spans="1:14" ht="60" customHeight="1" x14ac:dyDescent="0.2">
      <c r="A8" s="11">
        <v>6</v>
      </c>
      <c r="B8" s="11" t="s">
        <v>39</v>
      </c>
      <c r="C8" s="11" t="s">
        <v>67</v>
      </c>
      <c r="D8" s="11" t="s">
        <v>57</v>
      </c>
      <c r="E8" s="11" t="s">
        <v>75</v>
      </c>
      <c r="F8" s="11" t="s">
        <v>59</v>
      </c>
      <c r="G8" s="11" t="s">
        <v>44</v>
      </c>
      <c r="H8" s="11" t="s">
        <v>45</v>
      </c>
      <c r="I8" s="11" t="s">
        <v>76</v>
      </c>
      <c r="J8" s="11" t="s">
        <v>70</v>
      </c>
      <c r="K8" s="11" t="s">
        <v>77</v>
      </c>
      <c r="L8" s="11" t="s">
        <v>72</v>
      </c>
      <c r="M8" s="11" t="s">
        <v>78</v>
      </c>
      <c r="N8" s="11" t="s">
        <v>74</v>
      </c>
    </row>
    <row r="9" spans="1:14" ht="60" customHeight="1" x14ac:dyDescent="0.2">
      <c r="A9" s="10">
        <v>7</v>
      </c>
      <c r="B9" s="10" t="s">
        <v>39</v>
      </c>
      <c r="C9" s="10" t="s">
        <v>79</v>
      </c>
      <c r="D9" s="10" t="s">
        <v>41</v>
      </c>
      <c r="E9" s="10" t="s">
        <v>80</v>
      </c>
      <c r="F9" s="10" t="s">
        <v>81</v>
      </c>
      <c r="G9" s="10" t="s">
        <v>44</v>
      </c>
      <c r="H9" s="10" t="s">
        <v>45</v>
      </c>
      <c r="I9" s="10" t="s">
        <v>82</v>
      </c>
      <c r="J9" s="10" t="s">
        <v>47</v>
      </c>
      <c r="K9" s="10" t="s">
        <v>83</v>
      </c>
      <c r="L9" s="10" t="s">
        <v>84</v>
      </c>
      <c r="M9" s="10" t="s">
        <v>85</v>
      </c>
      <c r="N9" s="10" t="s">
        <v>86</v>
      </c>
    </row>
    <row r="10" spans="1:14" ht="60" customHeight="1" x14ac:dyDescent="0.2">
      <c r="A10" s="10">
        <v>8</v>
      </c>
      <c r="B10" s="10" t="s">
        <v>39</v>
      </c>
      <c r="C10" s="10" t="s">
        <v>79</v>
      </c>
      <c r="D10" s="10" t="s">
        <v>57</v>
      </c>
      <c r="E10" s="10" t="s">
        <v>87</v>
      </c>
      <c r="F10" s="10" t="s">
        <v>88</v>
      </c>
      <c r="G10" s="10" t="s">
        <v>44</v>
      </c>
      <c r="H10" s="10" t="s">
        <v>45</v>
      </c>
      <c r="I10" s="10" t="s">
        <v>82</v>
      </c>
      <c r="J10" s="10" t="s">
        <v>47</v>
      </c>
      <c r="K10" s="10" t="s">
        <v>89</v>
      </c>
      <c r="L10" s="10" t="s">
        <v>84</v>
      </c>
      <c r="M10" s="10" t="s">
        <v>90</v>
      </c>
      <c r="N10" s="10" t="s">
        <v>86</v>
      </c>
    </row>
    <row r="11" spans="1:14" ht="60" customHeight="1" x14ac:dyDescent="0.2">
      <c r="A11" s="11">
        <v>9</v>
      </c>
      <c r="B11" s="11" t="s">
        <v>39</v>
      </c>
      <c r="C11" s="11" t="s">
        <v>79</v>
      </c>
      <c r="D11" s="11" t="s">
        <v>41</v>
      </c>
      <c r="E11" s="11" t="s">
        <v>91</v>
      </c>
      <c r="F11" s="11" t="s">
        <v>43</v>
      </c>
      <c r="G11" s="11" t="s">
        <v>44</v>
      </c>
      <c r="H11" s="11" t="s">
        <v>45</v>
      </c>
      <c r="I11" s="11" t="s">
        <v>92</v>
      </c>
      <c r="J11" s="11" t="s">
        <v>70</v>
      </c>
      <c r="K11" s="11" t="s">
        <v>93</v>
      </c>
      <c r="L11" s="11" t="s">
        <v>84</v>
      </c>
      <c r="M11" s="11" t="s">
        <v>94</v>
      </c>
      <c r="N11" s="11" t="s">
        <v>86</v>
      </c>
    </row>
    <row r="12" spans="1:14" ht="60" customHeight="1" x14ac:dyDescent="0.2">
      <c r="A12" s="11">
        <v>10</v>
      </c>
      <c r="B12" s="11" t="s">
        <v>39</v>
      </c>
      <c r="C12" s="11" t="s">
        <v>79</v>
      </c>
      <c r="D12" s="11" t="s">
        <v>57</v>
      </c>
      <c r="E12" s="11" t="s">
        <v>95</v>
      </c>
      <c r="F12" s="11" t="s">
        <v>59</v>
      </c>
      <c r="G12" s="11" t="s">
        <v>44</v>
      </c>
      <c r="H12" s="11" t="s">
        <v>45</v>
      </c>
      <c r="I12" s="11" t="s">
        <v>92</v>
      </c>
      <c r="J12" s="11" t="s">
        <v>70</v>
      </c>
      <c r="K12" s="11" t="s">
        <v>96</v>
      </c>
      <c r="L12" s="11" t="s">
        <v>84</v>
      </c>
      <c r="M12" s="11" t="s">
        <v>97</v>
      </c>
      <c r="N12" s="11" t="s">
        <v>86</v>
      </c>
    </row>
    <row r="13" spans="1:14" ht="60" customHeight="1" x14ac:dyDescent="0.2">
      <c r="A13" s="11">
        <v>11</v>
      </c>
      <c r="B13" s="11" t="s">
        <v>39</v>
      </c>
      <c r="C13" s="11" t="s">
        <v>98</v>
      </c>
      <c r="D13" s="11" t="s">
        <v>41</v>
      </c>
      <c r="E13" s="11" t="s">
        <v>99</v>
      </c>
      <c r="F13" s="11" t="s">
        <v>100</v>
      </c>
      <c r="G13" s="11" t="s">
        <v>44</v>
      </c>
      <c r="H13" s="11" t="s">
        <v>45</v>
      </c>
      <c r="I13" s="11" t="s">
        <v>101</v>
      </c>
      <c r="J13" s="11" t="s">
        <v>70</v>
      </c>
      <c r="K13" s="11" t="s">
        <v>102</v>
      </c>
      <c r="L13" s="11" t="s">
        <v>103</v>
      </c>
      <c r="M13" s="11" t="s">
        <v>104</v>
      </c>
      <c r="N13" s="11" t="s">
        <v>105</v>
      </c>
    </row>
    <row r="14" spans="1:14" ht="60" customHeight="1" x14ac:dyDescent="0.2">
      <c r="A14" s="11">
        <v>12</v>
      </c>
      <c r="B14" s="11" t="s">
        <v>39</v>
      </c>
      <c r="C14" s="11" t="s">
        <v>98</v>
      </c>
      <c r="D14" s="11" t="s">
        <v>57</v>
      </c>
      <c r="E14" s="11" t="s">
        <v>106</v>
      </c>
      <c r="F14" s="11" t="s">
        <v>107</v>
      </c>
      <c r="G14" s="11" t="s">
        <v>44</v>
      </c>
      <c r="H14" s="11" t="s">
        <v>45</v>
      </c>
      <c r="I14" s="11" t="s">
        <v>101</v>
      </c>
      <c r="J14" s="11" t="s">
        <v>70</v>
      </c>
      <c r="K14" s="11" t="s">
        <v>108</v>
      </c>
      <c r="L14" s="11" t="s">
        <v>103</v>
      </c>
      <c r="M14" s="11" t="s">
        <v>109</v>
      </c>
      <c r="N14" s="11" t="s">
        <v>105</v>
      </c>
    </row>
    <row r="15" spans="1:14" ht="60" customHeight="1" x14ac:dyDescent="0.2">
      <c r="A15" s="10">
        <v>13</v>
      </c>
      <c r="B15" s="10" t="s">
        <v>110</v>
      </c>
      <c r="C15" s="10" t="s">
        <v>40</v>
      </c>
      <c r="D15" s="10" t="s">
        <v>111</v>
      </c>
      <c r="E15" s="10" t="s">
        <v>112</v>
      </c>
      <c r="F15" s="10" t="s">
        <v>113</v>
      </c>
      <c r="G15" s="10" t="s">
        <v>44</v>
      </c>
      <c r="H15" s="10" t="s">
        <v>45</v>
      </c>
      <c r="I15" s="10" t="s">
        <v>114</v>
      </c>
      <c r="J15" s="10" t="s">
        <v>47</v>
      </c>
      <c r="K15" s="10" t="s">
        <v>115</v>
      </c>
      <c r="L15" s="10" t="s">
        <v>49</v>
      </c>
      <c r="M15" s="10" t="s">
        <v>116</v>
      </c>
      <c r="N15" s="10" t="s">
        <v>117</v>
      </c>
    </row>
    <row r="16" spans="1:14" ht="60" customHeight="1" x14ac:dyDescent="0.2">
      <c r="A16" s="10">
        <v>14</v>
      </c>
      <c r="B16" s="10" t="s">
        <v>118</v>
      </c>
      <c r="C16" s="10" t="s">
        <v>40</v>
      </c>
      <c r="D16" s="10" t="s">
        <v>119</v>
      </c>
      <c r="E16" s="10" t="s">
        <v>120</v>
      </c>
      <c r="F16" s="10" t="s">
        <v>121</v>
      </c>
      <c r="G16" s="10" t="s">
        <v>44</v>
      </c>
      <c r="H16" s="10" t="s">
        <v>45</v>
      </c>
      <c r="I16" s="10" t="s">
        <v>122</v>
      </c>
      <c r="J16" s="10" t="s">
        <v>47</v>
      </c>
      <c r="K16" s="10" t="s">
        <v>123</v>
      </c>
      <c r="L16" s="10" t="s">
        <v>49</v>
      </c>
      <c r="M16" s="10" t="s">
        <v>124</v>
      </c>
      <c r="N16" s="10" t="s">
        <v>125</v>
      </c>
    </row>
    <row r="17" spans="1:14" ht="60" customHeight="1" x14ac:dyDescent="0.2">
      <c r="A17" s="10">
        <v>15</v>
      </c>
      <c r="B17" s="10" t="s">
        <v>118</v>
      </c>
      <c r="C17" s="10" t="s">
        <v>52</v>
      </c>
      <c r="D17" s="10" t="s">
        <v>119</v>
      </c>
      <c r="E17" s="10" t="s">
        <v>126</v>
      </c>
      <c r="F17" s="10" t="s">
        <v>121</v>
      </c>
      <c r="G17" s="10" t="s">
        <v>44</v>
      </c>
      <c r="H17" s="10" t="s">
        <v>45</v>
      </c>
      <c r="I17" s="10" t="s">
        <v>54</v>
      </c>
      <c r="J17" s="10" t="s">
        <v>47</v>
      </c>
      <c r="K17" s="10" t="s">
        <v>127</v>
      </c>
      <c r="L17" s="10" t="s">
        <v>49</v>
      </c>
      <c r="M17" s="10" t="s">
        <v>128</v>
      </c>
      <c r="N17" s="10" t="s">
        <v>125</v>
      </c>
    </row>
    <row r="18" spans="1:14" ht="60" customHeight="1" x14ac:dyDescent="0.2">
      <c r="A18" s="10">
        <v>16</v>
      </c>
      <c r="B18" s="10" t="s">
        <v>118</v>
      </c>
      <c r="C18" s="10" t="s">
        <v>40</v>
      </c>
      <c r="D18" s="10" t="s">
        <v>129</v>
      </c>
      <c r="E18" s="10" t="s">
        <v>130</v>
      </c>
      <c r="F18" s="10" t="s">
        <v>121</v>
      </c>
      <c r="G18" s="10" t="s">
        <v>44</v>
      </c>
      <c r="H18" s="10" t="s">
        <v>45</v>
      </c>
      <c r="I18" s="10" t="s">
        <v>131</v>
      </c>
      <c r="J18" s="10" t="s">
        <v>47</v>
      </c>
      <c r="K18" s="10" t="s">
        <v>132</v>
      </c>
      <c r="L18" s="10" t="s">
        <v>133</v>
      </c>
      <c r="M18" s="10" t="s">
        <v>134</v>
      </c>
      <c r="N18" s="10" t="s">
        <v>125</v>
      </c>
    </row>
    <row r="19" spans="1:14" ht="60" customHeight="1" x14ac:dyDescent="0.2">
      <c r="A19" s="10">
        <v>17</v>
      </c>
      <c r="B19" s="10" t="s">
        <v>118</v>
      </c>
      <c r="C19" s="10" t="s">
        <v>40</v>
      </c>
      <c r="D19" s="10" t="s">
        <v>135</v>
      </c>
      <c r="E19" s="10" t="s">
        <v>136</v>
      </c>
      <c r="F19" s="10" t="s">
        <v>137</v>
      </c>
      <c r="G19" s="10" t="s">
        <v>44</v>
      </c>
      <c r="H19" s="10" t="s">
        <v>45</v>
      </c>
      <c r="I19" s="10" t="s">
        <v>122</v>
      </c>
      <c r="J19" s="10" t="s">
        <v>47</v>
      </c>
      <c r="K19" s="10" t="s">
        <v>138</v>
      </c>
      <c r="L19" s="10" t="s">
        <v>49</v>
      </c>
      <c r="M19" s="10" t="s">
        <v>139</v>
      </c>
      <c r="N19" s="10" t="s">
        <v>125</v>
      </c>
    </row>
    <row r="20" spans="1:14" ht="60" customHeight="1" x14ac:dyDescent="0.2">
      <c r="A20" s="10">
        <v>18</v>
      </c>
      <c r="B20" s="10" t="s">
        <v>118</v>
      </c>
      <c r="C20" s="10" t="s">
        <v>52</v>
      </c>
      <c r="D20" s="10" t="s">
        <v>135</v>
      </c>
      <c r="E20" s="10" t="s">
        <v>140</v>
      </c>
      <c r="F20" s="10" t="s">
        <v>141</v>
      </c>
      <c r="G20" s="10" t="s">
        <v>44</v>
      </c>
      <c r="H20" s="10" t="s">
        <v>45</v>
      </c>
      <c r="I20" s="10" t="s">
        <v>54</v>
      </c>
      <c r="J20" s="10" t="s">
        <v>47</v>
      </c>
      <c r="K20" s="10" t="s">
        <v>142</v>
      </c>
      <c r="L20" s="10" t="s">
        <v>49</v>
      </c>
      <c r="M20" s="10" t="s">
        <v>143</v>
      </c>
      <c r="N20" s="10" t="s">
        <v>125</v>
      </c>
    </row>
    <row r="21" spans="1:14" ht="60" customHeight="1" x14ac:dyDescent="0.2">
      <c r="A21" s="10">
        <v>19</v>
      </c>
      <c r="B21" s="10" t="s">
        <v>118</v>
      </c>
      <c r="C21" s="10" t="s">
        <v>40</v>
      </c>
      <c r="D21" s="10" t="s">
        <v>144</v>
      </c>
      <c r="E21" s="10" t="s">
        <v>145</v>
      </c>
      <c r="F21" s="10" t="s">
        <v>141</v>
      </c>
      <c r="G21" s="10" t="s">
        <v>44</v>
      </c>
      <c r="H21" s="10" t="s">
        <v>45</v>
      </c>
      <c r="I21" s="10" t="s">
        <v>131</v>
      </c>
      <c r="J21" s="10" t="s">
        <v>47</v>
      </c>
      <c r="K21" s="10" t="s">
        <v>146</v>
      </c>
      <c r="L21" s="10" t="s">
        <v>133</v>
      </c>
      <c r="M21" s="10" t="s">
        <v>147</v>
      </c>
      <c r="N21" s="10" t="s">
        <v>125</v>
      </c>
    </row>
    <row r="22" spans="1:14" ht="60" customHeight="1" x14ac:dyDescent="0.2">
      <c r="A22" s="12">
        <v>20</v>
      </c>
      <c r="B22" s="12" t="s">
        <v>118</v>
      </c>
      <c r="C22" s="12" t="s">
        <v>40</v>
      </c>
      <c r="D22" s="12" t="s">
        <v>148</v>
      </c>
      <c r="E22" s="12" t="s">
        <v>149</v>
      </c>
      <c r="F22" s="12" t="s">
        <v>150</v>
      </c>
      <c r="G22" s="12" t="s">
        <v>44</v>
      </c>
      <c r="H22" s="12" t="s">
        <v>45</v>
      </c>
      <c r="I22" s="12" t="s">
        <v>60</v>
      </c>
      <c r="J22" s="12" t="s">
        <v>47</v>
      </c>
      <c r="K22" s="12" t="s">
        <v>151</v>
      </c>
      <c r="L22" s="12" t="s">
        <v>49</v>
      </c>
      <c r="M22" s="12" t="s">
        <v>152</v>
      </c>
      <c r="N22" s="12" t="s">
        <v>153</v>
      </c>
    </row>
    <row r="23" spans="1:14" ht="60" customHeight="1" x14ac:dyDescent="0.2">
      <c r="A23" s="12">
        <v>21</v>
      </c>
      <c r="B23" s="12" t="s">
        <v>118</v>
      </c>
      <c r="C23" s="12" t="s">
        <v>52</v>
      </c>
      <c r="D23" s="12" t="s">
        <v>148</v>
      </c>
      <c r="E23" s="12" t="s">
        <v>154</v>
      </c>
      <c r="F23" s="12" t="s">
        <v>155</v>
      </c>
      <c r="G23" s="12" t="s">
        <v>44</v>
      </c>
      <c r="H23" s="12" t="s">
        <v>45</v>
      </c>
      <c r="I23" s="12" t="s">
        <v>64</v>
      </c>
      <c r="J23" s="12" t="s">
        <v>47</v>
      </c>
      <c r="K23" s="12" t="s">
        <v>156</v>
      </c>
      <c r="L23" s="12" t="s">
        <v>49</v>
      </c>
      <c r="M23" s="12" t="s">
        <v>157</v>
      </c>
      <c r="N23" s="12" t="s">
        <v>153</v>
      </c>
    </row>
  </sheetData>
  <autoFilter ref="A2:N23" xr:uid="{00000000-0009-0000-0000-000001000000}"/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zoomScaleNormal="100" workbookViewId="0">
      <selection sqref="A1:B1"/>
    </sheetView>
  </sheetViews>
  <sheetFormatPr baseColWidth="10" defaultColWidth="8.6640625" defaultRowHeight="15" x14ac:dyDescent="0.2"/>
  <cols>
    <col min="1" max="1" width="34" customWidth="1"/>
    <col min="2" max="2" width="70" customWidth="1"/>
  </cols>
  <sheetData>
    <row r="1" spans="1:2" ht="20" x14ac:dyDescent="0.2">
      <c r="A1" s="3" t="s">
        <v>158</v>
      </c>
      <c r="B1" s="3"/>
    </row>
    <row r="2" spans="1:2" x14ac:dyDescent="0.2">
      <c r="A2" s="2" t="s">
        <v>159</v>
      </c>
      <c r="B2" s="2"/>
    </row>
    <row r="4" spans="1:2" ht="16" x14ac:dyDescent="0.2">
      <c r="A4" s="1" t="s">
        <v>160</v>
      </c>
      <c r="B4" s="1"/>
    </row>
    <row r="5" spans="1:2" x14ac:dyDescent="0.2">
      <c r="A5" s="13" t="s">
        <v>40</v>
      </c>
      <c r="B5" s="13" t="s">
        <v>161</v>
      </c>
    </row>
    <row r="6" spans="1:2" x14ac:dyDescent="0.2">
      <c r="A6" s="13" t="s">
        <v>52</v>
      </c>
      <c r="B6" s="13" t="s">
        <v>162</v>
      </c>
    </row>
    <row r="7" spans="1:2" x14ac:dyDescent="0.2">
      <c r="A7" s="13" t="s">
        <v>67</v>
      </c>
      <c r="B7" s="13" t="s">
        <v>163</v>
      </c>
    </row>
    <row r="8" spans="1:2" x14ac:dyDescent="0.2">
      <c r="A8" s="13" t="s">
        <v>79</v>
      </c>
      <c r="B8" s="13" t="s">
        <v>164</v>
      </c>
    </row>
    <row r="9" spans="1:2" x14ac:dyDescent="0.2">
      <c r="A9" s="13" t="s">
        <v>165</v>
      </c>
      <c r="B9" s="13" t="s">
        <v>166</v>
      </c>
    </row>
    <row r="10" spans="1:2" x14ac:dyDescent="0.2">
      <c r="A10" s="13" t="s">
        <v>167</v>
      </c>
      <c r="B10" s="13" t="s">
        <v>168</v>
      </c>
    </row>
    <row r="11" spans="1:2" x14ac:dyDescent="0.2">
      <c r="A11" s="13" t="s">
        <v>98</v>
      </c>
      <c r="B11" s="13" t="s">
        <v>169</v>
      </c>
    </row>
    <row r="13" spans="1:2" ht="16" x14ac:dyDescent="0.2">
      <c r="A13" s="1" t="s">
        <v>170</v>
      </c>
      <c r="B13" s="1"/>
    </row>
    <row r="14" spans="1:2" ht="27.75" customHeight="1" x14ac:dyDescent="0.2">
      <c r="A14" s="13" t="s">
        <v>171</v>
      </c>
      <c r="B14" s="13" t="s">
        <v>172</v>
      </c>
    </row>
    <row r="15" spans="1:2" ht="27.75" customHeight="1" x14ac:dyDescent="0.2">
      <c r="A15" s="13" t="s">
        <v>173</v>
      </c>
      <c r="B15" s="13" t="s">
        <v>174</v>
      </c>
    </row>
    <row r="16" spans="1:2" ht="27.75" customHeight="1" x14ac:dyDescent="0.2">
      <c r="A16" s="13" t="s">
        <v>175</v>
      </c>
      <c r="B16" s="13" t="s">
        <v>176</v>
      </c>
    </row>
    <row r="17" spans="1:2" ht="27.75" customHeight="1" x14ac:dyDescent="0.2">
      <c r="A17" s="13" t="s">
        <v>148</v>
      </c>
      <c r="B17" s="13" t="s">
        <v>177</v>
      </c>
    </row>
    <row r="18" spans="1:2" ht="27.75" customHeight="1" x14ac:dyDescent="0.2">
      <c r="A18" s="13" t="s">
        <v>178</v>
      </c>
      <c r="B18" s="13" t="s">
        <v>179</v>
      </c>
    </row>
    <row r="19" spans="1:2" ht="27.75" customHeight="1" x14ac:dyDescent="0.2">
      <c r="A19" s="13" t="s">
        <v>180</v>
      </c>
      <c r="B19" s="13" t="s">
        <v>181</v>
      </c>
    </row>
    <row r="20" spans="1:2" ht="27.75" customHeight="1" x14ac:dyDescent="0.2">
      <c r="A20" s="13" t="s">
        <v>182</v>
      </c>
      <c r="B20" s="13" t="s">
        <v>183</v>
      </c>
    </row>
    <row r="21" spans="1:2" ht="27.75" customHeight="1" x14ac:dyDescent="0.2">
      <c r="A21" s="13" t="s">
        <v>184</v>
      </c>
      <c r="B21" s="13" t="s">
        <v>185</v>
      </c>
    </row>
    <row r="23" spans="1:2" ht="16" x14ac:dyDescent="0.2">
      <c r="A23" s="1" t="s">
        <v>186</v>
      </c>
      <c r="B23" s="1"/>
    </row>
    <row r="24" spans="1:2" ht="39.75" customHeight="1" x14ac:dyDescent="0.2">
      <c r="A24" s="13" t="s">
        <v>187</v>
      </c>
      <c r="B24" s="13" t="s">
        <v>188</v>
      </c>
    </row>
    <row r="25" spans="1:2" ht="39.75" customHeight="1" x14ac:dyDescent="0.2">
      <c r="A25" s="13" t="s">
        <v>189</v>
      </c>
      <c r="B25" s="13" t="s">
        <v>190</v>
      </c>
    </row>
    <row r="26" spans="1:2" ht="39.75" customHeight="1" x14ac:dyDescent="0.2">
      <c r="A26" s="13" t="s">
        <v>191</v>
      </c>
      <c r="B26" s="13" t="s">
        <v>192</v>
      </c>
    </row>
    <row r="28" spans="1:2" ht="16" x14ac:dyDescent="0.2">
      <c r="A28" s="1" t="s">
        <v>193</v>
      </c>
      <c r="B28" s="1"/>
    </row>
    <row r="29" spans="1:2" x14ac:dyDescent="0.2">
      <c r="A29" s="13" t="s">
        <v>123</v>
      </c>
      <c r="B29" s="13" t="s">
        <v>194</v>
      </c>
    </row>
    <row r="30" spans="1:2" ht="28" x14ac:dyDescent="0.2">
      <c r="A30" s="13" t="s">
        <v>195</v>
      </c>
      <c r="B30" s="13" t="s">
        <v>196</v>
      </c>
    </row>
    <row r="31" spans="1:2" ht="28" x14ac:dyDescent="0.2">
      <c r="A31" s="13" t="s">
        <v>197</v>
      </c>
      <c r="B31" s="13" t="s">
        <v>198</v>
      </c>
    </row>
    <row r="32" spans="1:2" ht="28" x14ac:dyDescent="0.2">
      <c r="A32" s="13" t="s">
        <v>83</v>
      </c>
      <c r="B32" s="13" t="s">
        <v>199</v>
      </c>
    </row>
    <row r="33" spans="1:2" ht="28" x14ac:dyDescent="0.2">
      <c r="A33" s="13" t="s">
        <v>108</v>
      </c>
      <c r="B33" s="13" t="s">
        <v>200</v>
      </c>
    </row>
    <row r="34" spans="1:2" ht="28" x14ac:dyDescent="0.2">
      <c r="A34" s="13" t="s">
        <v>201</v>
      </c>
      <c r="B34" s="13" t="s">
        <v>202</v>
      </c>
    </row>
  </sheetData>
  <mergeCells count="6">
    <mergeCell ref="A28:B28"/>
    <mergeCell ref="A1:B1"/>
    <mergeCell ref="A2:B2"/>
    <mergeCell ref="A4:B4"/>
    <mergeCell ref="A13:B13"/>
    <mergeCell ref="A23:B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2" customWidth="1"/>
    <col min="2" max="2" width="12" customWidth="1"/>
    <col min="3" max="3" width="14" customWidth="1"/>
    <col min="4" max="4" width="46" customWidth="1"/>
  </cols>
  <sheetData>
    <row r="1" spans="1:4" ht="20" x14ac:dyDescent="0.2">
      <c r="A1" s="3" t="s">
        <v>203</v>
      </c>
      <c r="B1" s="3"/>
      <c r="C1" s="3"/>
      <c r="D1" s="3"/>
    </row>
    <row r="2" spans="1:4" x14ac:dyDescent="0.2">
      <c r="A2" s="2" t="s">
        <v>204</v>
      </c>
      <c r="B2" s="2"/>
      <c r="C2" s="2"/>
      <c r="D2" s="2"/>
    </row>
    <row r="4" spans="1:4" ht="31.5" customHeight="1" x14ac:dyDescent="0.2">
      <c r="A4" s="9" t="s">
        <v>205</v>
      </c>
      <c r="B4" s="9" t="s">
        <v>206</v>
      </c>
      <c r="C4" s="9" t="s">
        <v>207</v>
      </c>
      <c r="D4" s="9" t="s">
        <v>37</v>
      </c>
    </row>
    <row r="5" spans="1:4" ht="43.5" customHeight="1" x14ac:dyDescent="0.2">
      <c r="A5" s="13" t="s">
        <v>208</v>
      </c>
      <c r="B5" s="14" t="s">
        <v>209</v>
      </c>
      <c r="C5" s="14" t="s">
        <v>209</v>
      </c>
      <c r="D5" s="13" t="s">
        <v>210</v>
      </c>
    </row>
    <row r="6" spans="1:4" ht="43.5" customHeight="1" x14ac:dyDescent="0.2">
      <c r="A6" s="13" t="s">
        <v>211</v>
      </c>
      <c r="B6" s="14" t="s">
        <v>212</v>
      </c>
      <c r="C6" s="14" t="s">
        <v>209</v>
      </c>
      <c r="D6" s="13" t="s">
        <v>213</v>
      </c>
    </row>
    <row r="7" spans="1:4" ht="43.5" customHeight="1" x14ac:dyDescent="0.2">
      <c r="A7" s="13" t="s">
        <v>214</v>
      </c>
      <c r="B7" s="14" t="s">
        <v>212</v>
      </c>
      <c r="C7" s="14" t="s">
        <v>209</v>
      </c>
      <c r="D7" s="13" t="s">
        <v>215</v>
      </c>
    </row>
    <row r="8" spans="1:4" ht="43.5" customHeight="1" x14ac:dyDescent="0.2">
      <c r="A8" s="13" t="s">
        <v>216</v>
      </c>
      <c r="B8" s="14" t="s">
        <v>212</v>
      </c>
      <c r="C8" s="14" t="s">
        <v>209</v>
      </c>
      <c r="D8" s="13" t="s">
        <v>217</v>
      </c>
    </row>
    <row r="9" spans="1:4" ht="43.5" customHeight="1" x14ac:dyDescent="0.2">
      <c r="A9" s="12" t="s">
        <v>218</v>
      </c>
      <c r="B9" s="15" t="s">
        <v>219</v>
      </c>
      <c r="C9" s="15" t="s">
        <v>209</v>
      </c>
      <c r="D9" s="12" t="s">
        <v>220</v>
      </c>
    </row>
    <row r="10" spans="1:4" ht="43.5" customHeight="1" x14ac:dyDescent="0.2">
      <c r="A10" s="13" t="s">
        <v>221</v>
      </c>
      <c r="B10" s="14" t="s">
        <v>209</v>
      </c>
      <c r="C10" s="14" t="s">
        <v>209</v>
      </c>
      <c r="D10" s="13" t="s">
        <v>222</v>
      </c>
    </row>
    <row r="11" spans="1:4" ht="43.5" customHeight="1" x14ac:dyDescent="0.2">
      <c r="A11" s="13" t="s">
        <v>223</v>
      </c>
      <c r="B11" s="14" t="s">
        <v>212</v>
      </c>
      <c r="C11" s="14" t="s">
        <v>209</v>
      </c>
      <c r="D11" s="13" t="s">
        <v>224</v>
      </c>
    </row>
    <row r="12" spans="1:4" ht="43.5" customHeight="1" x14ac:dyDescent="0.2">
      <c r="A12" s="12" t="s">
        <v>225</v>
      </c>
      <c r="B12" s="15" t="s">
        <v>212</v>
      </c>
      <c r="C12" s="15" t="s">
        <v>209</v>
      </c>
      <c r="D12" s="12" t="s">
        <v>226</v>
      </c>
    </row>
    <row r="13" spans="1:4" ht="43.5" customHeight="1" x14ac:dyDescent="0.2">
      <c r="A13" s="13" t="s">
        <v>227</v>
      </c>
      <c r="B13" s="14" t="s">
        <v>209</v>
      </c>
      <c r="C13" s="14" t="s">
        <v>209</v>
      </c>
      <c r="D13" s="13" t="s">
        <v>228</v>
      </c>
    </row>
    <row r="14" spans="1:4" ht="43.5" customHeight="1" x14ac:dyDescent="0.2">
      <c r="A14" s="13" t="s">
        <v>229</v>
      </c>
      <c r="B14" s="14" t="s">
        <v>212</v>
      </c>
      <c r="C14" s="14" t="s">
        <v>209</v>
      </c>
      <c r="D14" s="13" t="s">
        <v>230</v>
      </c>
    </row>
    <row r="15" spans="1:4" ht="43.5" customHeight="1" x14ac:dyDescent="0.2">
      <c r="A15" s="13" t="s">
        <v>231</v>
      </c>
      <c r="B15" s="14" t="s">
        <v>212</v>
      </c>
      <c r="C15" s="14" t="s">
        <v>209</v>
      </c>
      <c r="D15" s="13" t="s">
        <v>232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zoomScaleNormal="100" workbookViewId="0">
      <pane ySplit="4" topLeftCell="A5" activePane="bottomLeft" state="frozen"/>
      <selection pane="bottomLeft" activeCell="A8" sqref="A8"/>
    </sheetView>
  </sheetViews>
  <sheetFormatPr baseColWidth="10" defaultColWidth="8.6640625" defaultRowHeight="15" x14ac:dyDescent="0.2"/>
  <cols>
    <col min="1" max="1" width="26" customWidth="1"/>
    <col min="2" max="2" width="20" customWidth="1"/>
    <col min="3" max="3" width="30" customWidth="1"/>
    <col min="4" max="4" width="34" customWidth="1"/>
  </cols>
  <sheetData>
    <row r="1" spans="1:4" ht="20" x14ac:dyDescent="0.2">
      <c r="A1" s="3" t="s">
        <v>233</v>
      </c>
      <c r="B1" s="3"/>
      <c r="C1" s="3"/>
      <c r="D1" s="3"/>
    </row>
    <row r="2" spans="1:4" x14ac:dyDescent="0.2">
      <c r="A2" s="2" t="s">
        <v>234</v>
      </c>
      <c r="B2" s="2"/>
      <c r="C2" s="2"/>
      <c r="D2" s="2"/>
    </row>
    <row r="4" spans="1:4" ht="31.5" customHeight="1" x14ac:dyDescent="0.2">
      <c r="A4" s="9" t="s">
        <v>235</v>
      </c>
      <c r="B4" s="9" t="s">
        <v>236</v>
      </c>
      <c r="C4" s="9" t="s">
        <v>237</v>
      </c>
      <c r="D4" s="9" t="s">
        <v>238</v>
      </c>
    </row>
    <row r="5" spans="1:4" ht="69.75" customHeight="1" x14ac:dyDescent="0.2">
      <c r="A5" s="16" t="s">
        <v>264</v>
      </c>
      <c r="B5" s="13" t="s">
        <v>239</v>
      </c>
      <c r="C5" s="13" t="s">
        <v>240</v>
      </c>
      <c r="D5" s="13" t="s">
        <v>241</v>
      </c>
    </row>
    <row r="6" spans="1:4" ht="69.75" customHeight="1" x14ac:dyDescent="0.2">
      <c r="A6" s="16" t="s">
        <v>265</v>
      </c>
      <c r="B6" s="13" t="s">
        <v>242</v>
      </c>
      <c r="C6" s="13" t="s">
        <v>243</v>
      </c>
      <c r="D6" s="13" t="s">
        <v>244</v>
      </c>
    </row>
    <row r="7" spans="1:4" ht="69.75" customHeight="1" x14ac:dyDescent="0.2">
      <c r="A7" s="16" t="s">
        <v>266</v>
      </c>
      <c r="B7" s="13" t="s">
        <v>245</v>
      </c>
      <c r="C7" s="13" t="s">
        <v>246</v>
      </c>
      <c r="D7" s="13" t="s">
        <v>247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zoomScaleNormal="100" workbookViewId="0">
      <pane ySplit="2" topLeftCell="A3" activePane="bottomLeft" state="frozen"/>
      <selection pane="bottomLeft" sqref="A1:C1"/>
    </sheetView>
  </sheetViews>
  <sheetFormatPr baseColWidth="10" defaultColWidth="8.6640625" defaultRowHeight="15" x14ac:dyDescent="0.2"/>
  <cols>
    <col min="1" max="1" width="40" customWidth="1"/>
    <col min="2" max="2" width="60" customWidth="1"/>
    <col min="3" max="3" width="34" customWidth="1"/>
  </cols>
  <sheetData>
    <row r="1" spans="1:3" ht="20" x14ac:dyDescent="0.2">
      <c r="A1" s="3" t="s">
        <v>248</v>
      </c>
      <c r="B1" s="3"/>
      <c r="C1" s="3"/>
    </row>
    <row r="3" spans="1:3" ht="31.5" customHeight="1" x14ac:dyDescent="0.2">
      <c r="A3" s="9" t="s">
        <v>249</v>
      </c>
      <c r="B3" s="9" t="s">
        <v>250</v>
      </c>
      <c r="C3" s="9" t="s">
        <v>251</v>
      </c>
    </row>
    <row r="4" spans="1:3" ht="90" customHeight="1" x14ac:dyDescent="0.2">
      <c r="A4" s="12" t="s">
        <v>252</v>
      </c>
      <c r="B4" s="12" t="s">
        <v>253</v>
      </c>
      <c r="C4" s="12" t="s">
        <v>254</v>
      </c>
    </row>
    <row r="5" spans="1:3" ht="90" customHeight="1" x14ac:dyDescent="0.2">
      <c r="A5" s="12" t="s">
        <v>255</v>
      </c>
      <c r="B5" s="12" t="s">
        <v>256</v>
      </c>
      <c r="C5" s="12" t="s">
        <v>74</v>
      </c>
    </row>
    <row r="6" spans="1:3" ht="90" customHeight="1" x14ac:dyDescent="0.2">
      <c r="A6" s="12" t="s">
        <v>257</v>
      </c>
      <c r="B6" s="12" t="s">
        <v>258</v>
      </c>
      <c r="C6" s="12" t="s">
        <v>259</v>
      </c>
    </row>
    <row r="7" spans="1:3" ht="90" customHeight="1" x14ac:dyDescent="0.2">
      <c r="A7" s="12" t="s">
        <v>260</v>
      </c>
      <c r="B7" s="12" t="s">
        <v>261</v>
      </c>
      <c r="C7" s="12" t="s">
        <v>153</v>
      </c>
    </row>
    <row r="8" spans="1:3" ht="90" customHeight="1" x14ac:dyDescent="0.2">
      <c r="A8" s="12" t="s">
        <v>262</v>
      </c>
      <c r="B8" s="12" t="s">
        <v>263</v>
      </c>
      <c r="C8" s="12" t="s">
        <v>117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efa4170-0d19-0005-0000-bc88714345d2}" enabled="1" method="Privileged" siteId="{86600c1e-803d-49b9-a963-036358886be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How To Use</vt:lpstr>
      <vt:lpstr>Build Matrix</vt:lpstr>
      <vt:lpstr>Naming Convention</vt:lpstr>
      <vt:lpstr>Licensing Gate</vt:lpstr>
      <vt:lpstr>Rollout Stages</vt:lpstr>
      <vt:lpstr>Verification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 Hope</cp:lastModifiedBy>
  <cp:revision>0</cp:revision>
  <dcterms:created xsi:type="dcterms:W3CDTF">2026-09-25T02:14:53Z</dcterms:created>
  <dcterms:modified xsi:type="dcterms:W3CDTF">2026-10-12T14:19:21Z</dcterms:modified>
  <dc:language>en-US</dc:language>
</cp:coreProperties>
</file>